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AI Visibility Data" sheetId="2" state="visible" r:id="rId4"/>
    <sheet name="Google SERP Snapshot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<sst xmlns="http://schemas.openxmlformats.org/spreadsheetml/2006/main" count="135" uniqueCount="84">
  <si>
    <t xml:space="preserve">AI Visibility Tracker — Custom Home Builders (Vancouver, WA)</t>
  </si>
  <si>
    <t xml:space="preserve">PoC · GEO Teardown Playbook · Step 2 (AI Visibility baseline)</t>
  </si>
  <si>
    <t xml:space="preserve">THE METHOD</t>
  </si>
  <si>
    <t xml:space="preserve">One query, all three</t>
  </si>
  <si>
    <t xml:space="preserve">Run each money query ONCE per engine. In that same answer, record where ALL THREE builders land — plus who is cited instead. Do not run three separate passes.</t>
  </si>
  <si>
    <t xml:space="preserve">Targets</t>
  </si>
  <si>
    <t xml:space="preserve">Kingston Homes (Patrick's build) · Generation Homes NW (Patrick's build) · Urban NW Homes (independent control).</t>
  </si>
  <si>
    <t xml:space="preserve">Scope</t>
  </si>
  <si>
    <t xml:space="preserve">5 money queries × 4 engines = 20 runs. That is the whole baseline. Fan-out sub-queries come later, only where gaps cluster.</t>
  </si>
  <si>
    <t xml:space="preserve">Google SERP tab</t>
  </si>
  <si>
    <t xml:space="preserve">When Google shows a Local Pack instead of an AI Overview, record the pack + organic winners on the 'Google SERP Snapshot' tab — keep those OUT of the AI 'Competitors named' column (that column = who the AI ANSWER cited).</t>
  </si>
  <si>
    <t xml:space="preserve">BEFORE YOU START — set the conditions (note them on the Data tab)</t>
  </si>
  <si>
    <t xml:space="preserve">Location</t>
  </si>
  <si>
    <t xml:space="preserve">Set your search location to Vancouver, WA. AI + local results are location-based.</t>
  </si>
  <si>
    <t xml:space="preserve">Logged out</t>
  </si>
  <si>
    <t xml:space="preserve">Run in an incognito/private window, signed out, to reduce personalization.</t>
  </si>
  <si>
    <t xml:space="preserve">Date</t>
  </si>
  <si>
    <t xml:space="preserve">AI answers change constantly. Record the date — this is a point-in-time snapshot.</t>
  </si>
  <si>
    <t xml:space="preserve">Screenshot everything</t>
  </si>
  <si>
    <t xml:space="preserve">Save a screenshot of each answer; note the filename in Notes. It is your evidence for Patrick.</t>
  </si>
  <si>
    <t xml:space="preserve">WHAT EACH COLUMN MEANS</t>
  </si>
  <si>
    <t xml:space="preserve">Answer shown?</t>
  </si>
  <si>
    <t xml:space="preserve">Did an AI answer / AI Overview appear at all? (Y/N). If none triggers, that itself is a finding.</t>
  </si>
  <si>
    <t xml:space="preserve">Client status (per builder)</t>
  </si>
  <si>
    <t xml:space="preserve">Cited = named AND linked · Mentioned = named, no link · Absent = not present · No answer = no AI answer appeared.</t>
  </si>
  <si>
    <t xml:space="preserve">Sources cited (domains)</t>
  </si>
  <si>
    <t xml:space="preserve">Which sites AI actually pulled — for home builders, usually Houzz, Parade of Homes / BIA, Google Maps, NARI, directories. Capture them.</t>
  </si>
  <si>
    <t xml:space="preserve">Competitors named</t>
  </si>
  <si>
    <t xml:space="preserve">Which competing builders AI cited instead (Pahlisch, New Tradition, Cascade West, etc.). This drives the competitive section.</t>
  </si>
  <si>
    <t xml:space="preserve">WHEN DONE</t>
  </si>
  <si>
    <t xml:space="preserve">Hand back</t>
  </si>
  <si>
    <t xml:space="preserve">Save and send me this file. I'll merge it into the Step 2 AI-visibility baseline and the competitive gap.</t>
  </si>
  <si>
    <t xml:space="preserve">AI Visibility — query × engine  (record all three builders in each answer)</t>
  </si>
  <si>
    <t xml:space="preserve">Fill C–I for each row. Status cells use dropdowns and color themselves. One answer scores all three builders + competitors.</t>
  </si>
  <si>
    <t xml:space="preserve">Tester: __________    Location set: Vancouver, WA    Logged out (Y/N): _____    Date: __________</t>
  </si>
  <si>
    <t xml:space="preserve">Query</t>
  </si>
  <si>
    <t xml:space="preserve">Engine</t>
  </si>
  <si>
    <t xml:space="preserve">Kingston (Patrick)</t>
  </si>
  <si>
    <t xml:space="preserve">Generation NW (Patrick)</t>
  </si>
  <si>
    <t xml:space="preserve">Urban NW (control)</t>
  </si>
  <si>
    <t xml:space="preserve">Notes</t>
  </si>
  <si>
    <t xml:space="preserve">custom home builders Vancouver WA (EXAMPLE)</t>
  </si>
  <si>
    <t xml:space="preserve">Perplexity</t>
  </si>
  <si>
    <t xml:space="preserve">Y</t>
  </si>
  <si>
    <t xml:space="preserve">Absent</t>
  </si>
  <si>
    <t xml:space="preserve">Mentioned</t>
  </si>
  <si>
    <t xml:space="preserve">houzz.com, parade of homes, google maps</t>
  </si>
  <si>
    <t xml:space="preserve">New Tradition Homes, Pahlisch Homes, Cascade West</t>
  </si>
  <si>
    <t xml:space="preserve">Example row — replace/delete. AI listed competitors from Houzz; none of our 3 were cited.</t>
  </si>
  <si>
    <t xml:space="preserve">custom home builders Vancouver WA</t>
  </si>
  <si>
    <t xml:space="preserve">Google AI Overview</t>
  </si>
  <si>
    <t xml:space="preserve">ChatGPT</t>
  </si>
  <si>
    <t xml:space="preserve">Gemini</t>
  </si>
  <si>
    <t xml:space="preserve">luxury home builders Clark County WA</t>
  </si>
  <si>
    <t xml:space="preserve">custom home builders Camas WA</t>
  </si>
  <si>
    <t xml:space="preserve">design-build home builder Vancouver WA</t>
  </si>
  <si>
    <t xml:space="preserve">best custom home builders Vancouver WA</t>
  </si>
  <si>
    <t xml:space="preserve">Google SERP Snapshot — traditional surface vs. AI (per money query)</t>
  </si>
  <si>
    <t xml:space="preserve">Google only, logged out, Vancouver WA. Per query: did an AI Overview trigger, who owns the Local Pack + organic top-3, and do any of our 3 builders appear? Captures the Maps/organic vs. AI overlap.</t>
  </si>
  <si>
    <t xml:space="preserve">Money query</t>
  </si>
  <si>
    <t xml:space="preserve">AIO triggered?</t>
  </si>
  <si>
    <t xml:space="preserve">Local Pack (top 3)</t>
  </si>
  <si>
    <t xml:space="preserve">Organic top-3</t>
  </si>
  <si>
    <t xml:space="preserve">Our 3 present? (which)</t>
  </si>
  <si>
    <t xml:space="preserve">N</t>
  </si>
  <si>
    <t xml:space="preserve">New Tradition, Pahlisch, Cascade West</t>
  </si>
  <si>
    <t xml:space="preserve">Houzz, Parade of Homes, Angi</t>
  </si>
  <si>
    <t xml:space="preserve">None of our 3</t>
  </si>
  <si>
    <t xml:space="preserve">Example — Local Pack shown instead of AIO; none of our builders in pack or top-3.</t>
  </si>
  <si>
    <t xml:space="preserve">AI Visibility Summary (auto-calculated)</t>
  </si>
  <si>
    <t xml:space="preserve">Updates as you fill the Data tab. Headline stats for the teardown.</t>
  </si>
  <si>
    <t xml:space="preserve">Per-builder visibility</t>
  </si>
  <si>
    <t xml:space="preserve">Metric</t>
  </si>
  <si>
    <t xml:space="preserve">Kingston</t>
  </si>
  <si>
    <t xml:space="preserve">Generation NW</t>
  </si>
  <si>
    <t xml:space="preserve">Urban NW</t>
  </si>
  <si>
    <t xml:space="preserve">Responses logged</t>
  </si>
  <si>
    <t xml:space="preserve">  Cited (named + linked)</t>
  </si>
  <si>
    <t xml:space="preserve">  Mentioned (no link)</t>
  </si>
  <si>
    <t xml:space="preserve">  Absent</t>
  </si>
  <si>
    <t xml:space="preserve">  No answer</t>
  </si>
  <si>
    <t xml:space="preserve">Visibility rate (Cited+Mentioned)</t>
  </si>
  <si>
    <t xml:space="preserve">Per-engine visibility % (Cited+Mentioned)</t>
  </si>
  <si>
    <t xml:space="preserve">"Who AI cites instead" — synthesize from the Sources &amp; Competitors columns on the Data tab.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</si>
</sst>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b val="true"/>
      <sz val="11"/>
      <color rgb="FF4D7C0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3341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F2937"/>
      <name val="Arial"/>
      <family val="0"/>
      <charset val="1"/>
    </font>
    <font>
      <sz val="10"/>
      <color rgb="FF64748B"/>
      <name val="Arial"/>
      <family val="0"/>
      <charset val="1"/>
    </font>
    <font>
      <i val="true"/>
      <sz val="10"/>
      <color rgb="FF3341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sz val="10"/>
      <color rgb="FF1F2937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1F2937"/>
      <name val="Arial"/>
      <family val="0"/>
      <charset val="1"/>
    </font>
    <font>
      <b val="true"/>
      <sz val="12"/>
      <color rgb="FF4D7C0F"/>
      <name val="Arial"/>
      <family val="0"/>
      <charset val="1"/>
    </font>
    <font>
      <b val="true"/>
      <sz val="10"/>
      <color rgb="FF4D7C0F"/>
      <name val="Arial"/>
      <family val="0"/>
      <charset val="1"/>
    </font>
    <font>
      <i val="true"/>
      <sz val="10"/>
      <color rgb="FF64748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D7C0F"/>
        <bgColor rgb="FF64748B"/>
      </patternFill>
    </fill>
    <fill>
      <patternFill patternType="solid">
        <fgColor rgb="FFF3F9E6"/>
        <bgColor rgb="FFF1F5F9"/>
      </patternFill>
    </fill>
    <fill>
      <patternFill patternType="solid">
        <fgColor rgb="FF1F2937"/>
        <bgColor rgb="FF333300"/>
      </patternFill>
    </fill>
    <fill>
      <patternFill patternType="solid">
        <fgColor rgb="FFF1F5F9"/>
        <bgColor rgb="FFF3F9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64748B"/>
      </font>
      <fill>
        <patternFill>
          <bgColor rgb="FFE2E8F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3F9E6"/>
      <rgbColor rgb="FFF1F5F9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4D7C0F"/>
      <rgbColor rgb="FF003300"/>
      <rgbColor rgb="FF333300"/>
      <rgbColor rgb="FF993300"/>
      <rgbColor rgb="FF993366"/>
      <rgbColor rgb="FF334155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87.3" hidden="false" customHeight="false" outlineLevel="0" collapsed="false">
      <c r="A1" s="1" t="s">
        <v>0</v>
      </c>
      <c r="B1" s="2"/>
    </row>
    <row r="2" customFormat="false" ht="39.5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4"/>
      <c r="B3" s="5"/>
    </row>
    <row r="4" customFormat="false" ht="15" hidden="false" customHeight="false" outlineLevel="0" collapsed="false">
      <c r="A4" s="6" t="s">
        <v>2</v>
      </c>
      <c r="B4" s="7"/>
    </row>
    <row r="5" customFormat="false" ht="23.8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23.85" hidden="false" customHeight="false" outlineLevel="0" collapsed="false">
      <c r="A7" s="4" t="s">
        <v>7</v>
      </c>
      <c r="B7" s="5" t="s">
        <v>8</v>
      </c>
    </row>
    <row r="8" customFormat="false" ht="35.0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/>
      <c r="B9" s="5"/>
    </row>
    <row r="10" customFormat="false" ht="39.55" hidden="false" customHeight="false" outlineLevel="0" collapsed="false">
      <c r="A10" s="6" t="s">
        <v>11</v>
      </c>
      <c r="B10" s="7"/>
    </row>
    <row r="11" customFormat="false" ht="15" hidden="false" customHeight="false" outlineLevel="0" collapsed="false">
      <c r="A11" s="4" t="s">
        <v>12</v>
      </c>
      <c r="B11" s="5" t="s">
        <v>13</v>
      </c>
    </row>
    <row r="12" customFormat="false" ht="15" hidden="false" customHeight="false" outlineLevel="0" collapsed="false">
      <c r="A12" s="4" t="s">
        <v>14</v>
      </c>
      <c r="B12" s="5" t="s">
        <v>15</v>
      </c>
    </row>
    <row r="13" customFormat="false" ht="15" hidden="false" customHeight="false" outlineLevel="0" collapsed="false">
      <c r="A13" s="4" t="s">
        <v>16</v>
      </c>
      <c r="B13" s="5" t="s">
        <v>17</v>
      </c>
    </row>
    <row r="14" customFormat="false" ht="15" hidden="false" customHeight="false" outlineLevel="0" collapsed="false">
      <c r="A14" s="4" t="s">
        <v>18</v>
      </c>
      <c r="B14" s="5" t="s">
        <v>19</v>
      </c>
    </row>
    <row r="15" customFormat="false" ht="15" hidden="false" customHeight="false" outlineLevel="0" collapsed="false">
      <c r="A15" s="4"/>
      <c r="B15" s="5"/>
    </row>
    <row r="16" customFormat="false" ht="26.85" hidden="false" customHeight="false" outlineLevel="0" collapsed="false">
      <c r="A16" s="6" t="s">
        <v>20</v>
      </c>
      <c r="B16" s="7"/>
    </row>
    <row r="17" customFormat="false" ht="15" hidden="false" customHeight="false" outlineLevel="0" collapsed="false">
      <c r="A17" s="4" t="s">
        <v>21</v>
      </c>
      <c r="B17" s="5" t="s">
        <v>22</v>
      </c>
    </row>
    <row r="18" customFormat="false" ht="23.85" hidden="false" customHeight="false" outlineLevel="0" collapsed="false">
      <c r="A18" s="4" t="s">
        <v>23</v>
      </c>
      <c r="B18" s="5" t="s">
        <v>24</v>
      </c>
    </row>
    <row r="19" customFormat="false" ht="23.85" hidden="false" customHeight="false" outlineLevel="0" collapsed="false">
      <c r="A19" s="4" t="s">
        <v>25</v>
      </c>
      <c r="B19" s="5" t="s">
        <v>26</v>
      </c>
    </row>
    <row r="20" customFormat="false" ht="23.85" hidden="false" customHeight="false" outlineLevel="0" collapsed="false">
      <c r="A20" s="4" t="s">
        <v>27</v>
      </c>
      <c r="B20" s="5" t="s">
        <v>28</v>
      </c>
    </row>
    <row r="21" customFormat="false" ht="15" hidden="false" customHeight="false" outlineLevel="0" collapsed="false">
      <c r="A21" s="4"/>
      <c r="B21" s="5"/>
    </row>
    <row r="22" customFormat="false" ht="15" hidden="false" customHeight="false" outlineLevel="0" collapsed="false">
      <c r="A22" s="6" t="s">
        <v>29</v>
      </c>
      <c r="B22" s="7"/>
    </row>
    <row r="23" customFormat="false" ht="15" hidden="false" customHeight="false" outlineLevel="0" collapsed="false">
      <c r="A23" s="4" t="s">
        <v>30</v>
      </c>
      <c r="B23" s="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8" min="7" style="0" width="30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8" t="s">
        <v>32</v>
      </c>
      <c r="B1" s="8"/>
      <c r="C1" s="8"/>
      <c r="D1" s="8"/>
      <c r="E1" s="8"/>
      <c r="F1" s="8"/>
      <c r="G1" s="8"/>
      <c r="H1" s="8"/>
      <c r="I1" s="8"/>
    </row>
    <row r="2" customFormat="false" ht="15" hidden="false" customHeight="false" outlineLevel="0" collapsed="false">
      <c r="A2" s="9" t="s">
        <v>33</v>
      </c>
      <c r="B2" s="9"/>
      <c r="C2" s="9"/>
      <c r="D2" s="9"/>
      <c r="E2" s="9"/>
      <c r="F2" s="9"/>
      <c r="G2" s="9"/>
      <c r="H2" s="9"/>
      <c r="I2" s="9"/>
    </row>
    <row r="3" customFormat="false" ht="15" hidden="false" customHeight="false" outlineLevel="0" collapsed="false">
      <c r="A3" s="10" t="s">
        <v>34</v>
      </c>
      <c r="B3" s="10"/>
      <c r="C3" s="10"/>
      <c r="D3" s="10"/>
      <c r="E3" s="10"/>
      <c r="F3" s="10"/>
      <c r="G3" s="10"/>
      <c r="H3" s="10"/>
      <c r="I3" s="10"/>
    </row>
    <row r="4" customFormat="false" ht="30" hidden="false" customHeight="true" outlineLevel="0" collapsed="false">
      <c r="A4" s="11" t="s">
        <v>35</v>
      </c>
      <c r="B4" s="11" t="s">
        <v>36</v>
      </c>
      <c r="C4" s="11" t="s">
        <v>21</v>
      </c>
      <c r="D4" s="11" t="s">
        <v>37</v>
      </c>
      <c r="E4" s="11" t="s">
        <v>38</v>
      </c>
      <c r="F4" s="11" t="s">
        <v>39</v>
      </c>
      <c r="G4" s="11" t="s">
        <v>25</v>
      </c>
      <c r="H4" s="11" t="s">
        <v>27</v>
      </c>
      <c r="I4" s="11" t="s">
        <v>40</v>
      </c>
    </row>
    <row r="5" customFormat="false" ht="32.8" hidden="false" customHeight="false" outlineLevel="0" collapsed="false">
      <c r="A5" s="12" t="s">
        <v>41</v>
      </c>
      <c r="B5" s="12" t="s">
        <v>42</v>
      </c>
      <c r="C5" s="12" t="s">
        <v>43</v>
      </c>
      <c r="D5" s="12" t="s">
        <v>44</v>
      </c>
      <c r="E5" s="12" t="s">
        <v>45</v>
      </c>
      <c r="F5" s="12" t="s">
        <v>44</v>
      </c>
      <c r="G5" s="12" t="s">
        <v>46</v>
      </c>
      <c r="H5" s="12" t="s">
        <v>47</v>
      </c>
      <c r="I5" s="12" t="s">
        <v>48</v>
      </c>
    </row>
    <row r="6" customFormat="false" ht="15" hidden="false" customHeight="false" outlineLevel="0" collapsed="false">
      <c r="A6" s="13" t="s">
        <v>49</v>
      </c>
      <c r="B6" s="13" t="s">
        <v>50</v>
      </c>
      <c r="C6" s="14"/>
      <c r="D6" s="14"/>
      <c r="E6" s="14"/>
      <c r="F6" s="14"/>
      <c r="G6" s="14"/>
      <c r="H6" s="14"/>
      <c r="I6" s="14"/>
    </row>
    <row r="7" customFormat="false" ht="15" hidden="false" customHeight="false" outlineLevel="0" collapsed="false">
      <c r="A7" s="13" t="s">
        <v>49</v>
      </c>
      <c r="B7" s="13" t="s">
        <v>51</v>
      </c>
      <c r="C7" s="14"/>
      <c r="D7" s="14"/>
      <c r="E7" s="14"/>
      <c r="F7" s="14"/>
      <c r="G7" s="14"/>
      <c r="H7" s="14"/>
      <c r="I7" s="14"/>
    </row>
    <row r="8" customFormat="false" ht="15" hidden="false" customHeight="false" outlineLevel="0" collapsed="false">
      <c r="A8" s="13" t="s">
        <v>49</v>
      </c>
      <c r="B8" s="13" t="s">
        <v>42</v>
      </c>
      <c r="C8" s="14"/>
      <c r="D8" s="14"/>
      <c r="E8" s="14"/>
      <c r="F8" s="14"/>
      <c r="G8" s="14"/>
      <c r="H8" s="14"/>
      <c r="I8" s="14"/>
    </row>
    <row r="9" customFormat="false" ht="15" hidden="false" customHeight="false" outlineLevel="0" collapsed="false">
      <c r="A9" s="13" t="s">
        <v>49</v>
      </c>
      <c r="B9" s="13" t="s">
        <v>52</v>
      </c>
      <c r="C9" s="14"/>
      <c r="D9" s="14"/>
      <c r="E9" s="14"/>
      <c r="F9" s="14"/>
      <c r="G9" s="14"/>
      <c r="H9" s="14"/>
      <c r="I9" s="14"/>
    </row>
    <row r="10" customFormat="false" ht="15" hidden="false" customHeight="false" outlineLevel="0" collapsed="false">
      <c r="A10" s="13" t="s">
        <v>53</v>
      </c>
      <c r="B10" s="13" t="s">
        <v>50</v>
      </c>
      <c r="C10" s="14"/>
      <c r="D10" s="14"/>
      <c r="E10" s="14"/>
      <c r="F10" s="14"/>
      <c r="G10" s="14"/>
      <c r="H10" s="14"/>
      <c r="I10" s="14"/>
    </row>
    <row r="11" customFormat="false" ht="15" hidden="false" customHeight="false" outlineLevel="0" collapsed="false">
      <c r="A11" s="13" t="s">
        <v>53</v>
      </c>
      <c r="B11" s="13" t="s">
        <v>51</v>
      </c>
      <c r="C11" s="14"/>
      <c r="D11" s="14"/>
      <c r="E11" s="14"/>
      <c r="F11" s="14"/>
      <c r="G11" s="14"/>
      <c r="H11" s="14"/>
      <c r="I11" s="14"/>
    </row>
    <row r="12" customFormat="false" ht="15" hidden="false" customHeight="false" outlineLevel="0" collapsed="false">
      <c r="A12" s="13" t="s">
        <v>53</v>
      </c>
      <c r="B12" s="13" t="s">
        <v>42</v>
      </c>
      <c r="C12" s="14"/>
      <c r="D12" s="14"/>
      <c r="E12" s="14"/>
      <c r="F12" s="14"/>
      <c r="G12" s="14"/>
      <c r="H12" s="14"/>
      <c r="I12" s="14"/>
    </row>
    <row r="13" customFormat="false" ht="15" hidden="false" customHeight="false" outlineLevel="0" collapsed="false">
      <c r="A13" s="13" t="s">
        <v>53</v>
      </c>
      <c r="B13" s="13" t="s">
        <v>52</v>
      </c>
      <c r="C13" s="14"/>
      <c r="D13" s="14"/>
      <c r="E13" s="14"/>
      <c r="F13" s="14"/>
      <c r="G13" s="14"/>
      <c r="H13" s="14"/>
      <c r="I13" s="14"/>
    </row>
    <row r="14" customFormat="false" ht="15" hidden="false" customHeight="false" outlineLevel="0" collapsed="false">
      <c r="A14" s="13" t="s">
        <v>54</v>
      </c>
      <c r="B14" s="13" t="s">
        <v>50</v>
      </c>
      <c r="C14" s="14"/>
      <c r="D14" s="14"/>
      <c r="E14" s="14"/>
      <c r="F14" s="14"/>
      <c r="G14" s="14"/>
      <c r="H14" s="14"/>
      <c r="I14" s="14"/>
    </row>
    <row r="15" customFormat="false" ht="15" hidden="false" customHeight="false" outlineLevel="0" collapsed="false">
      <c r="A15" s="13" t="s">
        <v>54</v>
      </c>
      <c r="B15" s="13" t="s">
        <v>51</v>
      </c>
      <c r="C15" s="14"/>
      <c r="D15" s="14"/>
      <c r="E15" s="14"/>
      <c r="F15" s="14"/>
      <c r="G15" s="14"/>
      <c r="H15" s="14"/>
      <c r="I15" s="14"/>
    </row>
    <row r="16" customFormat="false" ht="15" hidden="false" customHeight="false" outlineLevel="0" collapsed="false">
      <c r="A16" s="13" t="s">
        <v>54</v>
      </c>
      <c r="B16" s="13" t="s">
        <v>42</v>
      </c>
      <c r="C16" s="14"/>
      <c r="D16" s="14"/>
      <c r="E16" s="14"/>
      <c r="F16" s="14"/>
      <c r="G16" s="14"/>
      <c r="H16" s="14"/>
      <c r="I16" s="14"/>
    </row>
    <row r="17" customFormat="false" ht="15" hidden="false" customHeight="false" outlineLevel="0" collapsed="false">
      <c r="A17" s="13" t="s">
        <v>54</v>
      </c>
      <c r="B17" s="13" t="s">
        <v>52</v>
      </c>
      <c r="C17" s="14"/>
      <c r="D17" s="14"/>
      <c r="E17" s="14"/>
      <c r="F17" s="14"/>
      <c r="G17" s="14"/>
      <c r="H17" s="14"/>
      <c r="I17" s="14"/>
    </row>
    <row r="18" customFormat="false" ht="15" hidden="false" customHeight="false" outlineLevel="0" collapsed="false">
      <c r="A18" s="13" t="s">
        <v>55</v>
      </c>
      <c r="B18" s="13" t="s">
        <v>50</v>
      </c>
      <c r="C18" s="14"/>
      <c r="D18" s="14"/>
      <c r="E18" s="14"/>
      <c r="F18" s="14"/>
      <c r="G18" s="14"/>
      <c r="H18" s="14"/>
      <c r="I18" s="14"/>
    </row>
    <row r="19" customFormat="false" ht="15" hidden="false" customHeight="false" outlineLevel="0" collapsed="false">
      <c r="A19" s="13" t="s">
        <v>55</v>
      </c>
      <c r="B19" s="13" t="s">
        <v>51</v>
      </c>
      <c r="C19" s="14"/>
      <c r="D19" s="14"/>
      <c r="E19" s="14"/>
      <c r="F19" s="14"/>
      <c r="G19" s="14"/>
      <c r="H19" s="14"/>
      <c r="I19" s="14"/>
    </row>
    <row r="20" customFormat="false" ht="15" hidden="false" customHeight="false" outlineLevel="0" collapsed="false">
      <c r="A20" s="13" t="s">
        <v>55</v>
      </c>
      <c r="B20" s="13" t="s">
        <v>42</v>
      </c>
      <c r="C20" s="14"/>
      <c r="D20" s="14"/>
      <c r="E20" s="14"/>
      <c r="F20" s="14"/>
      <c r="G20" s="14"/>
      <c r="H20" s="14"/>
      <c r="I20" s="14"/>
    </row>
    <row r="21" customFormat="false" ht="15" hidden="false" customHeight="false" outlineLevel="0" collapsed="false">
      <c r="A21" s="13" t="s">
        <v>55</v>
      </c>
      <c r="B21" s="13" t="s">
        <v>52</v>
      </c>
      <c r="C21" s="14"/>
      <c r="D21" s="14"/>
      <c r="E21" s="14"/>
      <c r="F21" s="14"/>
      <c r="G21" s="14"/>
      <c r="H21" s="14"/>
      <c r="I21" s="14"/>
    </row>
    <row r="22" customFormat="false" ht="23.85" hidden="false" customHeight="false" outlineLevel="0" collapsed="false">
      <c r="A22" s="13" t="s">
        <v>56</v>
      </c>
      <c r="B22" s="13" t="s">
        <v>50</v>
      </c>
      <c r="C22" s="14"/>
      <c r="D22" s="14"/>
      <c r="E22" s="14"/>
      <c r="F22" s="14"/>
      <c r="G22" s="14"/>
      <c r="H22" s="14"/>
      <c r="I22" s="14"/>
    </row>
    <row r="23" customFormat="false" ht="23.85" hidden="false" customHeight="false" outlineLevel="0" collapsed="false">
      <c r="A23" s="13" t="s">
        <v>56</v>
      </c>
      <c r="B23" s="13" t="s">
        <v>51</v>
      </c>
      <c r="C23" s="14"/>
      <c r="D23" s="14"/>
      <c r="E23" s="14"/>
      <c r="F23" s="14"/>
      <c r="G23" s="14"/>
      <c r="H23" s="14"/>
      <c r="I23" s="14"/>
    </row>
    <row r="24" customFormat="false" ht="23.85" hidden="false" customHeight="false" outlineLevel="0" collapsed="false">
      <c r="A24" s="13" t="s">
        <v>56</v>
      </c>
      <c r="B24" s="13" t="s">
        <v>42</v>
      </c>
      <c r="C24" s="14"/>
      <c r="D24" s="14"/>
      <c r="E24" s="14"/>
      <c r="F24" s="14"/>
      <c r="G24" s="14"/>
      <c r="H24" s="14"/>
      <c r="I24" s="14"/>
    </row>
    <row r="25" customFormat="false" ht="23.85" hidden="false" customHeight="false" outlineLevel="0" collapsed="false">
      <c r="A25" s="13" t="s">
        <v>56</v>
      </c>
      <c r="B25" s="13" t="s">
        <v>52</v>
      </c>
      <c r="C25" s="14"/>
      <c r="D25" s="14"/>
      <c r="E25" s="14"/>
      <c r="F25" s="14"/>
      <c r="G25" s="14"/>
      <c r="H25" s="14"/>
      <c r="I25" s="14"/>
    </row>
  </sheetData>
  <mergeCells count="3">
    <mergeCell ref="A1:I1"/>
    <mergeCell ref="A2:I2"/>
    <mergeCell ref="A3:I3"/>
  </mergeCells>
  <conditionalFormatting sqref="D6:F25">
    <cfRule type="cellIs" priority="2" operator="equal" aboveAverage="0" equalAverage="0" bottom="0" percent="0" rank="0" text="" dxfId="0">
      <formula>"Cited"</formula>
    </cfRule>
    <cfRule type="cellIs" priority="3" operator="equal" aboveAverage="0" equalAverage="0" bottom="0" percent="0" rank="0" text="" dxfId="1">
      <formula>"Mentioned"</formula>
    </cfRule>
    <cfRule type="cellIs" priority="4" operator="equal" aboveAverage="0" equalAverage="0" bottom="0" percent="0" rank="0" text="" dxfId="2">
      <formula>"Absent"</formula>
    </cfRule>
    <cfRule type="cellIs" priority="5" operator="equal" aboveAverage="0" equalAverage="0" bottom="0" percent="0" rank="0" text="" dxfId="3">
      <formula>"No answer"</formula>
    </cfRule>
  </conditionalFormatting>
  <dataValidations count="3">
    <dataValidation allowBlank="true" errorStyle="stop" operator="between" showDropDown="false" showErrorMessage="false" showInputMessage="false" sqref="B6:B25" type="list">
      <formula1>"Google AI Overview,ChatGPT,Perplexity,Gemini"</formula1>
      <formula2>0</formula2>
    </dataValidation>
    <dataValidation allowBlank="true" errorStyle="stop" operator="between" showDropDown="false" showErrorMessage="false" showInputMessage="false" sqref="C6:C25" type="list">
      <formula1>"Y,N"</formula1>
      <formula2>0</formula2>
    </dataValidation>
    <dataValidation allowBlank="true" errorStyle="stop" operator="between" showDropDown="false" showErrorMessage="false" showInputMessage="false" sqref="D6:F25" type="list">
      <formula1>"Cited,Mentioned,Absent,No answer"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8" t="s">
        <v>57</v>
      </c>
      <c r="B1" s="8"/>
      <c r="C1" s="8"/>
      <c r="D1" s="8"/>
      <c r="E1" s="8"/>
      <c r="F1" s="8"/>
    </row>
    <row r="2" customFormat="false" ht="15" hidden="false" customHeight="false" outlineLevel="0" collapsed="false">
      <c r="A2" s="9" t="s">
        <v>58</v>
      </c>
      <c r="B2" s="9"/>
      <c r="C2" s="9"/>
      <c r="D2" s="9"/>
      <c r="E2" s="9"/>
      <c r="F2" s="9"/>
    </row>
    <row r="3" customFormat="false" ht="30" hidden="false" customHeight="true" outlineLevel="0" collapsed="false">
      <c r="A3" s="11" t="s">
        <v>59</v>
      </c>
      <c r="B3" s="11" t="s">
        <v>60</v>
      </c>
      <c r="C3" s="11" t="s">
        <v>61</v>
      </c>
      <c r="D3" s="11" t="s">
        <v>62</v>
      </c>
      <c r="E3" s="11" t="s">
        <v>63</v>
      </c>
      <c r="F3" s="11" t="s">
        <v>40</v>
      </c>
    </row>
    <row r="4" customFormat="false" ht="32.8" hidden="false" customHeight="false" outlineLevel="0" collapsed="false">
      <c r="A4" s="12" t="s">
        <v>41</v>
      </c>
      <c r="B4" s="12" t="s">
        <v>64</v>
      </c>
      <c r="C4" s="12" t="s">
        <v>65</v>
      </c>
      <c r="D4" s="12" t="s">
        <v>66</v>
      </c>
      <c r="E4" s="12" t="s">
        <v>67</v>
      </c>
      <c r="F4" s="12" t="s">
        <v>68</v>
      </c>
    </row>
    <row r="5" customFormat="false" ht="15" hidden="false" customHeight="false" outlineLevel="0" collapsed="false">
      <c r="A5" s="13" t="s">
        <v>49</v>
      </c>
      <c r="B5" s="14"/>
      <c r="C5" s="14"/>
      <c r="D5" s="14"/>
      <c r="E5" s="14"/>
      <c r="F5" s="14"/>
    </row>
    <row r="6" customFormat="false" ht="15" hidden="false" customHeight="false" outlineLevel="0" collapsed="false">
      <c r="A6" s="13" t="s">
        <v>53</v>
      </c>
      <c r="B6" s="14"/>
      <c r="C6" s="14"/>
      <c r="D6" s="14"/>
      <c r="E6" s="14"/>
      <c r="F6" s="14"/>
    </row>
    <row r="7" customFormat="false" ht="15" hidden="false" customHeight="false" outlineLevel="0" collapsed="false">
      <c r="A7" s="13" t="s">
        <v>54</v>
      </c>
      <c r="B7" s="14"/>
      <c r="C7" s="14"/>
      <c r="D7" s="14"/>
      <c r="E7" s="14"/>
      <c r="F7" s="14"/>
    </row>
    <row r="8" customFormat="false" ht="15" hidden="false" customHeight="false" outlineLevel="0" collapsed="false">
      <c r="A8" s="13" t="s">
        <v>55</v>
      </c>
      <c r="B8" s="14"/>
      <c r="C8" s="14"/>
      <c r="D8" s="14"/>
      <c r="E8" s="14"/>
      <c r="F8" s="14"/>
    </row>
    <row r="9" customFormat="false" ht="23.85" hidden="false" customHeight="false" outlineLevel="0" collapsed="false">
      <c r="A9" s="13" t="s">
        <v>56</v>
      </c>
      <c r="B9" s="14"/>
      <c r="C9" s="14"/>
      <c r="D9" s="14"/>
      <c r="E9" s="14"/>
      <c r="F9" s="14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B5:B9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4"/>
  </cols>
  <sheetData>
    <row r="1" customFormat="false" ht="18.55" hidden="false" customHeight="false" outlineLevel="0" collapsed="false">
      <c r="A1" s="15" t="s">
        <v>69</v>
      </c>
      <c r="B1" s="15"/>
      <c r="C1" s="15"/>
      <c r="D1" s="15"/>
      <c r="E1" s="15"/>
    </row>
    <row r="2" customFormat="false" ht="15" hidden="false" customHeight="false" outlineLevel="0" collapsed="false">
      <c r="A2" s="9" t="s">
        <v>70</v>
      </c>
      <c r="B2" s="9"/>
      <c r="C2" s="9"/>
      <c r="D2" s="9"/>
      <c r="E2" s="9"/>
    </row>
    <row r="4" customFormat="false" ht="15" hidden="false" customHeight="false" outlineLevel="0" collapsed="false">
      <c r="A4" s="16" t="s">
        <v>71</v>
      </c>
    </row>
    <row r="5" customFormat="false" ht="15" hidden="false" customHeight="false" outlineLevel="0" collapsed="false">
      <c r="A5" s="17" t="s">
        <v>72</v>
      </c>
      <c r="B5" s="17" t="s">
        <v>73</v>
      </c>
      <c r="C5" s="17" t="s">
        <v>74</v>
      </c>
      <c r="D5" s="17" t="s">
        <v>75</v>
      </c>
    </row>
    <row r="6" customFormat="false" ht="15" hidden="false" customHeight="false" outlineLevel="0" collapsed="false">
      <c r="A6" s="18" t="s">
        <v>76</v>
      </c>
      <c r="B6" s="19" t="n">
        <f aca="false">COUNTA('AI Visibility Data'!D6:D25)</f>
        <v>0</v>
      </c>
      <c r="C6" s="19" t="n">
        <f aca="false">COUNTA('AI Visibility Data'!E6:E25)</f>
        <v>0</v>
      </c>
      <c r="D6" s="19" t="n">
        <f aca="false">COUNTA('AI Visibility Data'!F6:F25)</f>
        <v>0</v>
      </c>
    </row>
    <row r="7" customFormat="false" ht="15" hidden="false" customHeight="false" outlineLevel="0" collapsed="false">
      <c r="A7" s="20" t="s">
        <v>77</v>
      </c>
      <c r="B7" s="19" t="n">
        <f aca="false">COUNTIF('AI Visibility Data'!D6:D25,"Cited")</f>
        <v>0</v>
      </c>
      <c r="C7" s="19" t="n">
        <f aca="false">COUNTIF('AI Visibility Data'!E6:E25,"Cited")</f>
        <v>0</v>
      </c>
      <c r="D7" s="19" t="n">
        <f aca="false">COUNTIF('AI Visibility Data'!F6:F25,"Cited")</f>
        <v>0</v>
      </c>
    </row>
    <row r="8" customFormat="false" ht="15" hidden="false" customHeight="false" outlineLevel="0" collapsed="false">
      <c r="A8" s="20" t="s">
        <v>78</v>
      </c>
      <c r="B8" s="19" t="n">
        <f aca="false">COUNTIF('AI Visibility Data'!D6:D25,"Mentioned")</f>
        <v>0</v>
      </c>
      <c r="C8" s="19" t="n">
        <f aca="false">COUNTIF('AI Visibility Data'!E6:E25,"Mentioned")</f>
        <v>0</v>
      </c>
      <c r="D8" s="19" t="n">
        <f aca="false">COUNTIF('AI Visibility Data'!F6:F25,"Mentioned")</f>
        <v>0</v>
      </c>
    </row>
    <row r="9" customFormat="false" ht="15" hidden="false" customHeight="false" outlineLevel="0" collapsed="false">
      <c r="A9" s="20" t="s">
        <v>79</v>
      </c>
      <c r="B9" s="19" t="n">
        <f aca="false">COUNTIF('AI Visibility Data'!D6:D25,"Absent")</f>
        <v>0</v>
      </c>
      <c r="C9" s="19" t="n">
        <f aca="false">COUNTIF('AI Visibility Data'!E6:E25,"Absent")</f>
        <v>0</v>
      </c>
      <c r="D9" s="19" t="n">
        <f aca="false">COUNTIF('AI Visibility Data'!F6:F25,"Absent")</f>
        <v>0</v>
      </c>
    </row>
    <row r="10" customFormat="false" ht="15" hidden="false" customHeight="false" outlineLevel="0" collapsed="false">
      <c r="A10" s="20" t="s">
        <v>80</v>
      </c>
      <c r="B10" s="19" t="n">
        <f aca="false">COUNTIF('AI Visibility Data'!D6:D25,"No answer")</f>
        <v>0</v>
      </c>
      <c r="C10" s="19" t="n">
        <f aca="false">COUNTIF('AI Visibility Data'!E6:E25,"No answer")</f>
        <v>0</v>
      </c>
      <c r="D10" s="19" t="n">
        <f aca="false">COUNTIF('AI Visibility Data'!F6:F25,"No answer")</f>
        <v>0</v>
      </c>
    </row>
    <row r="11" customFormat="false" ht="15" hidden="false" customHeight="false" outlineLevel="0" collapsed="false">
      <c r="A11" s="18" t="s">
        <v>81</v>
      </c>
      <c r="B11" s="21" t="str">
        <f aca="false">IFERROR((B7+B8)/B6,"")</f>
        <v/>
      </c>
      <c r="C11" s="21" t="str">
        <f aca="false">IFERROR((C7+C8)/C6,"")</f>
        <v/>
      </c>
      <c r="D11" s="21" t="str">
        <f aca="false">IFERROR((D7+D8)/D6,"")</f>
        <v/>
      </c>
    </row>
    <row r="13" customFormat="false" ht="15" hidden="false" customHeight="false" outlineLevel="0" collapsed="false">
      <c r="A13" s="16" t="s">
        <v>82</v>
      </c>
    </row>
    <row r="14" customFormat="false" ht="15" hidden="false" customHeight="false" outlineLevel="0" collapsed="false">
      <c r="A14" s="17" t="s">
        <v>36</v>
      </c>
      <c r="B14" s="17" t="s">
        <v>73</v>
      </c>
      <c r="C14" s="17" t="s">
        <v>74</v>
      </c>
      <c r="D14" s="17" t="s">
        <v>75</v>
      </c>
    </row>
    <row r="15" customFormat="false" ht="15" hidden="false" customHeight="false" outlineLevel="0" collapsed="false">
      <c r="A15" s="20" t="s">
        <v>50</v>
      </c>
      <c r="B15" s="22" t="str">
        <f aca="false">IFERROR((COUNTIFS('AI Visibility Data'!$B$6:$B$25,"Google AI Overview",'AI Visibility Data'!$D$6:$D$25,"Cited")+COUNTIFS('AI Visibility Data'!$B$6:$B$25,"Google AI Overview",'AI Visibility Data'!$D$6:$D$25,"Mentioned"))/(COUNTIFS('AI Visibility Data'!$B$6:$B$25,"Google AI Overview",'AI Visibility Data'!$D$6:$D$25,"&lt;&gt;")),"")</f>
        <v/>
      </c>
      <c r="C15" s="22" t="str">
        <f aca="false">IFERROR((COUNTIFS('AI Visibility Data'!$B$6:$B$25,"Google AI Overview",'AI Visibility Data'!$E$6:$E$25,"Cited")+COUNTIFS('AI Visibility Data'!$B$6:$B$25,"Google AI Overview",'AI Visibility Data'!$E$6:$E$25,"Mentioned"))/(COUNTIFS('AI Visibility Data'!$B$6:$B$25,"Google AI Overview",'AI Visibility Data'!$E$6:$E$25,"&lt;&gt;")),"")</f>
        <v/>
      </c>
      <c r="D15" s="22" t="str">
        <f aca="false">IFERROR((COUNTIFS('AI Visibility Data'!$B$6:$B$25,"Google AI Overview",'AI Visibility Data'!$F$6:$F$25,"Cited")+COUNTIFS('AI Visibility Data'!$B$6:$B$25,"Google AI Overview",'AI Visibility Data'!$F$6:$F$25,"Mentioned"))/(COUNTIFS('AI Visibility Data'!$B$6:$B$25,"Google AI Overview",'AI Visibility Data'!$F$6:$F$25,"&lt;&gt;")),"")</f>
        <v/>
      </c>
    </row>
    <row r="16" customFormat="false" ht="15" hidden="false" customHeight="false" outlineLevel="0" collapsed="false">
      <c r="A16" s="20" t="s">
        <v>51</v>
      </c>
      <c r="B16" s="22" t="str">
        <f aca="false">IFERROR((COUNTIFS('AI Visibility Data'!$B$6:$B$25,"ChatGPT",'AI Visibility Data'!$D$6:$D$25,"Cited")+COUNTIFS('AI Visibility Data'!$B$6:$B$25,"ChatGPT",'AI Visibility Data'!$D$6:$D$25,"Mentioned"))/(COUNTIFS('AI Visibility Data'!$B$6:$B$25,"ChatGPT",'AI Visibility Data'!$D$6:$D$25,"&lt;&gt;")),"")</f>
        <v/>
      </c>
      <c r="C16" s="22" t="str">
        <f aca="false">IFERROR((COUNTIFS('AI Visibility Data'!$B$6:$B$25,"ChatGPT",'AI Visibility Data'!$E$6:$E$25,"Cited")+COUNTIFS('AI Visibility Data'!$B$6:$B$25,"ChatGPT",'AI Visibility Data'!$E$6:$E$25,"Mentioned"))/(COUNTIFS('AI Visibility Data'!$B$6:$B$25,"ChatGPT",'AI Visibility Data'!$E$6:$E$25,"&lt;&gt;")),"")</f>
        <v/>
      </c>
      <c r="D16" s="22" t="str">
        <f aca="false">IFERROR((COUNTIFS('AI Visibility Data'!$B$6:$B$25,"ChatGPT",'AI Visibility Data'!$F$6:$F$25,"Cited")+COUNTIFS('AI Visibility Data'!$B$6:$B$25,"ChatGPT",'AI Visibility Data'!$F$6:$F$25,"Mentioned"))/(COUNTIFS('AI Visibility Data'!$B$6:$B$25,"ChatGPT",'AI Visibility Data'!$F$6:$F$25,"&lt;&gt;")),"")</f>
        <v/>
      </c>
    </row>
    <row r="17" customFormat="false" ht="15" hidden="false" customHeight="false" outlineLevel="0" collapsed="false">
      <c r="A17" s="20" t="s">
        <v>42</v>
      </c>
      <c r="B17" s="22" t="str">
        <f aca="false">IFERROR((COUNTIFS('AI Visibility Data'!$B$6:$B$25,"Perplexity",'AI Visibility Data'!$D$6:$D$25,"Cited")+COUNTIFS('AI Visibility Data'!$B$6:$B$25,"Perplexity",'AI Visibility Data'!$D$6:$D$25,"Mentioned"))/(COUNTIFS('AI Visibility Data'!$B$6:$B$25,"Perplexity",'AI Visibility Data'!$D$6:$D$25,"&lt;&gt;")),"")</f>
        <v/>
      </c>
      <c r="C17" s="22" t="str">
        <f aca="false">IFERROR((COUNTIFS('AI Visibility Data'!$B$6:$B$25,"Perplexity",'AI Visibility Data'!$E$6:$E$25,"Cited")+COUNTIFS('AI Visibility Data'!$B$6:$B$25,"Perplexity",'AI Visibility Data'!$E$6:$E$25,"Mentioned"))/(COUNTIFS('AI Visibility Data'!$B$6:$B$25,"Perplexity",'AI Visibility Data'!$E$6:$E$25,"&lt;&gt;")),"")</f>
        <v/>
      </c>
      <c r="D17" s="22" t="str">
        <f aca="false">IFERROR((COUNTIFS('AI Visibility Data'!$B$6:$B$25,"Perplexity",'AI Visibility Data'!$F$6:$F$25,"Cited")+COUNTIFS('AI Visibility Data'!$B$6:$B$25,"Perplexity",'AI Visibility Data'!$F$6:$F$25,"Mentioned"))/(COUNTIFS('AI Visibility Data'!$B$6:$B$25,"Perplexity",'AI Visibility Data'!$F$6:$F$25,"&lt;&gt;")),"")</f>
        <v/>
      </c>
    </row>
    <row r="18" customFormat="false" ht="15" hidden="false" customHeight="false" outlineLevel="0" collapsed="false">
      <c r="A18" s="20" t="s">
        <v>52</v>
      </c>
      <c r="B18" s="22" t="str">
        <f aca="false">IFERROR((COUNTIFS('AI Visibility Data'!$B$6:$B$25,"Gemini",'AI Visibility Data'!$D$6:$D$25,"Cited")+COUNTIFS('AI Visibility Data'!$B$6:$B$25,"Gemini",'AI Visibility Data'!$D$6:$D$25,"Mentioned"))/(COUNTIFS('AI Visibility Data'!$B$6:$B$25,"Gemini",'AI Visibility Data'!$D$6:$D$25,"&lt;&gt;")),"")</f>
        <v/>
      </c>
      <c r="C18" s="22" t="str">
        <f aca="false">IFERROR((COUNTIFS('AI Visibility Data'!$B$6:$B$25,"Gemini",'AI Visibility Data'!$E$6:$E$25,"Cited")+COUNTIFS('AI Visibility Data'!$B$6:$B$25,"Gemini",'AI Visibility Data'!$E$6:$E$25,"Mentioned"))/(COUNTIFS('AI Visibility Data'!$B$6:$B$25,"Gemini",'AI Visibility Data'!$E$6:$E$25,"&lt;&gt;")),"")</f>
        <v/>
      </c>
      <c r="D18" s="22" t="str">
        <f aca="false">IFERROR((COUNTIFS('AI Visibility Data'!$B$6:$B$25,"Gemini",'AI Visibility Data'!$F$6:$F$25,"Cited")+COUNTIFS('AI Visibility Data'!$B$6:$B$25,"Gemini",'AI Visibility Data'!$F$6:$F$25,"Mentioned"))/(COUNTIFS('AI Visibility Data'!$B$6:$B$25,"Gemini",'AI Visibility Data'!$F$6:$F$25,"&lt;&gt;")),"")</f>
        <v/>
      </c>
    </row>
    <row r="20" customFormat="false" ht="15" hidden="false" customHeight="false" outlineLevel="0" collapsed="false">
      <c r="A20" s="23" t="s">
        <v>83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2026-09-10T18:10:20Z</dcterms:created>
  <dc:creator>openpyxl</dc:creator>
  <dc:description/>
  <dc:language>en-US</dc:language>
  <cp:lastModifiedBy/>
  <dcterms:modified xsi:type="dcterms:W3CDTF">2026-09-10T18:10:20Z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